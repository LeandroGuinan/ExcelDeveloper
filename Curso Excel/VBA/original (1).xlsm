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AD5DBFCB-4940-4AFB-840F-C5F8BD3B1AFC}" xr6:coauthVersionLast="45" xr6:coauthVersionMax="45" xr10:uidLastSave="{00000000-0000-0000-0000-000000000000}"/>
  <bookViews>
    <workbookView xWindow="285" yWindow="495" windowWidth="12150" windowHeight="11640" activeTab="1" xr2:uid="{CE679D67-7703-4D76-B147-AA9F0A4D6EB7}"/>
  </bookViews>
  <sheets>
    <sheet name="Barranquilla" sheetId="1" r:id="rId1"/>
    <sheet name="Bogotá" sheetId="2" r:id="rId2"/>
    <sheet name="Medellín" sheetId="3" r:id="rId3"/>
    <sheet name="Brasili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" i="4" l="1"/>
  <c r="D13" i="4"/>
  <c r="D12" i="4"/>
  <c r="D11" i="4"/>
  <c r="D10" i="4"/>
  <c r="D9" i="4"/>
  <c r="D8" i="4"/>
  <c r="D7" i="4"/>
  <c r="D6" i="4"/>
  <c r="D5" i="4"/>
  <c r="D4" i="4"/>
  <c r="D3" i="4"/>
  <c r="D2" i="4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3" i="2"/>
  <c r="D12" i="2"/>
  <c r="D11" i="2"/>
  <c r="D10" i="2"/>
  <c r="D9" i="2"/>
  <c r="D8" i="2"/>
  <c r="D7" i="2"/>
  <c r="D6" i="2"/>
  <c r="D5" i="2"/>
  <c r="D4" i="2"/>
  <c r="D3" i="2"/>
  <c r="D2" i="2"/>
  <c r="F5" i="1"/>
  <c r="F6" i="1"/>
  <c r="F13" i="1"/>
  <c r="F14" i="1"/>
  <c r="E5" i="1"/>
  <c r="E6" i="1"/>
  <c r="E7" i="1"/>
  <c r="F7" i="1" s="1"/>
  <c r="E13" i="1"/>
  <c r="E14" i="1"/>
  <c r="E15" i="1"/>
  <c r="F15" i="1" s="1"/>
  <c r="D3" i="1"/>
  <c r="E3" i="1" s="1"/>
  <c r="F3" i="1" s="1"/>
  <c r="D4" i="1"/>
  <c r="E4" i="1" s="1"/>
  <c r="F4" i="1" s="1"/>
  <c r="D5" i="1"/>
  <c r="D6" i="1"/>
  <c r="D7" i="1"/>
  <c r="D8" i="1"/>
  <c r="E8" i="1" s="1"/>
  <c r="F8" i="1" s="1"/>
  <c r="D9" i="1"/>
  <c r="E9" i="1" s="1"/>
  <c r="F9" i="1" s="1"/>
  <c r="D10" i="1"/>
  <c r="E10" i="1" s="1"/>
  <c r="F10" i="1" s="1"/>
  <c r="D11" i="1"/>
  <c r="E11" i="1" s="1"/>
  <c r="F11" i="1" s="1"/>
  <c r="D12" i="1"/>
  <c r="E12" i="1" s="1"/>
  <c r="F12" i="1" s="1"/>
  <c r="D13" i="1"/>
  <c r="D14" i="1"/>
  <c r="D15" i="1"/>
  <c r="D16" i="1"/>
  <c r="E16" i="1" s="1"/>
  <c r="F16" i="1" s="1"/>
  <c r="D2" i="1"/>
  <c r="E2" i="1" s="1"/>
  <c r="F2" i="1" s="1"/>
  <c r="E2" i="4" l="1"/>
  <c r="F2" i="4" s="1"/>
  <c r="E3" i="4"/>
  <c r="F3" i="4" s="1"/>
  <c r="E4" i="4"/>
  <c r="F4" i="4" s="1"/>
  <c r="E5" i="4"/>
  <c r="F5" i="4" s="1"/>
  <c r="E6" i="4"/>
  <c r="F6" i="4" s="1"/>
  <c r="E7" i="4"/>
  <c r="F7" i="4" s="1"/>
  <c r="E8" i="4"/>
  <c r="F8" i="4" s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2" i="3"/>
  <c r="F2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2" i="2"/>
  <c r="F2" i="2" s="1"/>
  <c r="E3" i="2"/>
  <c r="F3" i="2" s="1"/>
  <c r="E4" i="2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</calcChain>
</file>

<file path=xl/sharedStrings.xml><?xml version="1.0" encoding="utf-8"?>
<sst xmlns="http://schemas.openxmlformats.org/spreadsheetml/2006/main" count="136" uniqueCount="26">
  <si>
    <t>PIZZA</t>
  </si>
  <si>
    <t>PRODUCTOS</t>
  </si>
  <si>
    <t>AÑO 2017</t>
  </si>
  <si>
    <t>AÑO 2018</t>
  </si>
  <si>
    <t>AÑO 2019</t>
  </si>
  <si>
    <t>AÑO 2020</t>
  </si>
  <si>
    <t>CIUDAD</t>
  </si>
  <si>
    <t>Barranquilla</t>
  </si>
  <si>
    <t>ENTRADAS</t>
  </si>
  <si>
    <t>HAMBURGUESAS</t>
  </si>
  <si>
    <t>MULTIPASES</t>
  </si>
  <si>
    <t>TIQUETERAS</t>
  </si>
  <si>
    <t>CRISPETAS</t>
  </si>
  <si>
    <t>EVENTOS</t>
  </si>
  <si>
    <t>COLEGIOS</t>
  </si>
  <si>
    <t>FIESTAS</t>
  </si>
  <si>
    <t>EXCLUSIVIDADES</t>
  </si>
  <si>
    <t>FUNDACIONES</t>
  </si>
  <si>
    <t>VACACIONES</t>
  </si>
  <si>
    <t>PLAN DIVERSIÓN</t>
  </si>
  <si>
    <t>PASAPORTE ILIMITADO</t>
  </si>
  <si>
    <t>PLA CUMPLEAÑERO</t>
  </si>
  <si>
    <t>TOTAL INGRESO</t>
  </si>
  <si>
    <t>Bogotá</t>
  </si>
  <si>
    <t>Medellín</t>
  </si>
  <si>
    <t>Brasilia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</si>
</sst>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164" fontId="2" fillId="0" borderId="0" xfId="0" applyNumberFormat="1" applyFont="1"/>
    <xf numFmtId="0" fontId="2" fillId="0" borderId="0" xfId="0" applyFont="1"/>
    <xf numFmtId="164" fontId="2" fillId="0" borderId="0" xfId="0" applyNumberFormat="1" applyFont="1" applyFill="1"/>
    <xf numFmtId="0" fontId="0" fillId="3" borderId="0" xfId="0" applyFill="1"/>
    <xf numFmtId="0" fontId="0" fillId="4" borderId="0" xfId="0" applyFill="1"/>
    <xf numFmtId="7" fontId="0" fillId="0" borderId="0" xfId="0" applyNumberFormat="1"/>
    <xf numFmtId="164" fontId="2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49649-5BE4-41E9-8C51-B8D01B26218C}">
  <sheetPr codeName="Hoja1"/>
  <dimension ref="A1:H18"/>
  <sheetViews>
    <sheetView topLeftCell="B1" workbookViewId="0">
      <selection activeCell="G3" sqref="G3"/>
    </sheetView>
  </sheetViews>
  <sheetFormatPr baseColWidth="10" defaultRowHeight="15" x14ac:dyDescent="0.25"/>
  <cols>
    <col min="1" max="1" width="13.28515625" bestFit="1" customWidth="1"/>
    <col min="2" max="2" width="24.28515625" bestFit="1" customWidth="1"/>
    <col min="3" max="6" width="15" customWidth="1"/>
    <col min="7" max="7" width="19.5703125" bestFit="1" customWidth="1"/>
  </cols>
  <sheetData>
    <row r="1" spans="1:8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8" ht="17.25" x14ac:dyDescent="0.3">
      <c r="A2" s="4" t="s">
        <v>7</v>
      </c>
      <c r="B2" s="4" t="s">
        <v>0</v>
      </c>
      <c r="C2" s="3">
        <v>8500</v>
      </c>
      <c r="D2" s="3">
        <f>C2*12%+C2</f>
        <v>9520</v>
      </c>
      <c r="E2" s="3">
        <f>D2*13%+D2</f>
        <v>10757.6</v>
      </c>
      <c r="F2" s="3">
        <f>E2*13%+E2</f>
        <v>12156.088</v>
      </c>
      <c r="G2" s="8">
        <v>40933.69</v>
      </c>
    </row>
    <row r="3" spans="1:8" ht="17.25" x14ac:dyDescent="0.3">
      <c r="A3" s="4" t="s">
        <v>7</v>
      </c>
      <c r="B3" s="4" t="s">
        <v>8</v>
      </c>
      <c r="C3" s="3">
        <v>20569</v>
      </c>
      <c r="D3" s="3">
        <f t="shared" ref="D3:D16" si="0">C3*12%+C3</f>
        <v>23037.279999999999</v>
      </c>
      <c r="E3" s="3">
        <f t="shared" ref="E3:F16" si="1">D3*13%+D3</f>
        <v>26032.126399999997</v>
      </c>
      <c r="F3" s="3">
        <f t="shared" si="1"/>
        <v>29416.302831999998</v>
      </c>
      <c r="G3" s="7"/>
    </row>
    <row r="4" spans="1:8" ht="17.25" x14ac:dyDescent="0.3">
      <c r="A4" s="4" t="s">
        <v>7</v>
      </c>
      <c r="B4" s="4" t="s">
        <v>9</v>
      </c>
      <c r="C4" s="3">
        <v>9630</v>
      </c>
      <c r="D4" s="3">
        <f t="shared" si="0"/>
        <v>10785.6</v>
      </c>
      <c r="E4" s="3">
        <f t="shared" si="1"/>
        <v>12187.728000000001</v>
      </c>
      <c r="F4" s="3">
        <f t="shared" si="1"/>
        <v>13772.132640000002</v>
      </c>
      <c r="G4" s="6"/>
    </row>
    <row r="5" spans="1:8" ht="17.25" x14ac:dyDescent="0.3">
      <c r="A5" s="4" t="s">
        <v>7</v>
      </c>
      <c r="B5" s="4" t="s">
        <v>10</v>
      </c>
      <c r="C5" s="3">
        <v>5263</v>
      </c>
      <c r="D5" s="3">
        <f t="shared" si="0"/>
        <v>5894.5599999999995</v>
      </c>
      <c r="E5" s="3">
        <f t="shared" si="1"/>
        <v>6660.8527999999997</v>
      </c>
      <c r="F5" s="3">
        <f t="shared" si="1"/>
        <v>7526.7636640000001</v>
      </c>
      <c r="G5" s="5"/>
    </row>
    <row r="6" spans="1:8" ht="17.25" x14ac:dyDescent="0.3">
      <c r="A6" s="4" t="s">
        <v>7</v>
      </c>
      <c r="B6" s="4" t="s">
        <v>11</v>
      </c>
      <c r="C6" s="3">
        <v>63215</v>
      </c>
      <c r="D6" s="3">
        <f t="shared" si="0"/>
        <v>70800.800000000003</v>
      </c>
      <c r="E6" s="3">
        <f t="shared" si="1"/>
        <v>80004.90400000001</v>
      </c>
      <c r="F6" s="3">
        <f t="shared" si="1"/>
        <v>90405.541520000013</v>
      </c>
      <c r="G6" s="5"/>
    </row>
    <row r="7" spans="1:8" ht="17.25" x14ac:dyDescent="0.3">
      <c r="A7" s="4" t="s">
        <v>7</v>
      </c>
      <c r="B7" s="4" t="s">
        <v>12</v>
      </c>
      <c r="C7" s="3">
        <v>12326</v>
      </c>
      <c r="D7" s="3">
        <f t="shared" si="0"/>
        <v>13805.119999999999</v>
      </c>
      <c r="E7" s="3">
        <f t="shared" si="1"/>
        <v>15599.785599999999</v>
      </c>
      <c r="F7" s="3">
        <f t="shared" si="1"/>
        <v>17627.757728</v>
      </c>
      <c r="G7" s="5"/>
    </row>
    <row r="8" spans="1:8" ht="17.25" x14ac:dyDescent="0.3">
      <c r="A8" s="4" t="s">
        <v>7</v>
      </c>
      <c r="B8" s="4" t="s">
        <v>13</v>
      </c>
      <c r="C8" s="3">
        <v>32698</v>
      </c>
      <c r="D8" s="3">
        <f t="shared" si="0"/>
        <v>36621.760000000002</v>
      </c>
      <c r="E8" s="3">
        <f t="shared" si="1"/>
        <v>41382.588800000005</v>
      </c>
      <c r="F8" s="3">
        <f t="shared" si="1"/>
        <v>46762.325344000004</v>
      </c>
      <c r="G8" s="5"/>
    </row>
    <row r="9" spans="1:8" ht="17.25" x14ac:dyDescent="0.3">
      <c r="A9" s="4" t="s">
        <v>7</v>
      </c>
      <c r="B9" s="4" t="s">
        <v>14</v>
      </c>
      <c r="C9" s="3">
        <v>25963</v>
      </c>
      <c r="D9" s="3">
        <f t="shared" si="0"/>
        <v>29078.560000000001</v>
      </c>
      <c r="E9" s="3">
        <f t="shared" si="1"/>
        <v>32858.772799999999</v>
      </c>
      <c r="F9" s="3">
        <f t="shared" si="1"/>
        <v>37130.413264000003</v>
      </c>
      <c r="G9" s="5"/>
    </row>
    <row r="10" spans="1:8" ht="17.25" x14ac:dyDescent="0.3">
      <c r="A10" s="4" t="s">
        <v>7</v>
      </c>
      <c r="B10" s="4" t="s">
        <v>15</v>
      </c>
      <c r="C10" s="3">
        <v>45693</v>
      </c>
      <c r="D10" s="3">
        <f t="shared" si="0"/>
        <v>51176.160000000003</v>
      </c>
      <c r="E10" s="3">
        <f t="shared" si="1"/>
        <v>57829.060800000007</v>
      </c>
      <c r="F10" s="3">
        <f t="shared" si="1"/>
        <v>65346.838704000009</v>
      </c>
      <c r="G10" s="3"/>
    </row>
    <row r="11" spans="1:8" ht="17.25" x14ac:dyDescent="0.3">
      <c r="A11" s="4" t="s">
        <v>7</v>
      </c>
      <c r="B11" s="4" t="s">
        <v>16</v>
      </c>
      <c r="C11" s="3">
        <v>56985</v>
      </c>
      <c r="D11" s="3">
        <f t="shared" si="0"/>
        <v>63823.199999999997</v>
      </c>
      <c r="E11" s="3">
        <f t="shared" si="1"/>
        <v>72120.216</v>
      </c>
      <c r="F11" s="3">
        <f t="shared" si="1"/>
        <v>81495.844079999995</v>
      </c>
      <c r="G11" s="3"/>
    </row>
    <row r="12" spans="1:8" ht="17.25" x14ac:dyDescent="0.3">
      <c r="A12" s="4" t="s">
        <v>7</v>
      </c>
      <c r="B12" s="4" t="s">
        <v>17</v>
      </c>
      <c r="C12" s="3">
        <v>12632</v>
      </c>
      <c r="D12" s="3">
        <f t="shared" si="0"/>
        <v>14147.84</v>
      </c>
      <c r="E12" s="3">
        <f t="shared" si="1"/>
        <v>15987.0592</v>
      </c>
      <c r="F12" s="3">
        <f t="shared" si="1"/>
        <v>18065.376896000002</v>
      </c>
      <c r="G12" s="3"/>
    </row>
    <row r="13" spans="1:8" ht="17.25" x14ac:dyDescent="0.3">
      <c r="A13" s="4" t="s">
        <v>7</v>
      </c>
      <c r="B13" s="4" t="s">
        <v>18</v>
      </c>
      <c r="C13" s="3">
        <v>42152</v>
      </c>
      <c r="D13" s="3">
        <f t="shared" si="0"/>
        <v>47210.239999999998</v>
      </c>
      <c r="E13" s="3">
        <f t="shared" si="1"/>
        <v>53347.571199999998</v>
      </c>
      <c r="F13" s="3">
        <f t="shared" si="1"/>
        <v>60282.755455999999</v>
      </c>
      <c r="G13" s="3"/>
    </row>
    <row r="14" spans="1:8" ht="17.25" x14ac:dyDescent="0.3">
      <c r="A14" s="4" t="s">
        <v>7</v>
      </c>
      <c r="B14" s="4" t="s">
        <v>19</v>
      </c>
      <c r="C14" s="3">
        <v>55963</v>
      </c>
      <c r="D14" s="3">
        <f t="shared" si="0"/>
        <v>62678.559999999998</v>
      </c>
      <c r="E14" s="3">
        <f t="shared" si="1"/>
        <v>70826.772799999992</v>
      </c>
      <c r="F14" s="3">
        <f t="shared" si="1"/>
        <v>80034.253263999984</v>
      </c>
      <c r="G14" s="3"/>
      <c r="H14" s="2"/>
    </row>
    <row r="15" spans="1:8" ht="17.25" x14ac:dyDescent="0.3">
      <c r="A15" s="4" t="s">
        <v>7</v>
      </c>
      <c r="B15" s="4" t="s">
        <v>20</v>
      </c>
      <c r="C15" s="3">
        <v>45632</v>
      </c>
      <c r="D15" s="3">
        <f t="shared" si="0"/>
        <v>51107.839999999997</v>
      </c>
      <c r="E15" s="3">
        <f t="shared" si="1"/>
        <v>57751.859199999999</v>
      </c>
      <c r="F15" s="3">
        <f t="shared" si="1"/>
        <v>65259.600895999996</v>
      </c>
      <c r="G15" s="3"/>
    </row>
    <row r="16" spans="1:8" ht="17.25" x14ac:dyDescent="0.3">
      <c r="A16" s="4" t="s">
        <v>7</v>
      </c>
      <c r="B16" s="4" t="s">
        <v>21</v>
      </c>
      <c r="C16" s="3">
        <v>12325</v>
      </c>
      <c r="D16" s="3">
        <f t="shared" si="0"/>
        <v>13804</v>
      </c>
      <c r="E16" s="3">
        <f t="shared" si="1"/>
        <v>15598.52</v>
      </c>
      <c r="F16" s="3">
        <f t="shared" si="1"/>
        <v>17626.327600000001</v>
      </c>
      <c r="G16" s="3"/>
    </row>
    <row r="18" spans="7:7" x14ac:dyDescent="0.25">
      <c r="G1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F3D48-3DA2-49EA-A186-D8AC8BEB4EF6}">
  <sheetPr codeName="Hoja2"/>
  <dimension ref="A1:G16"/>
  <sheetViews>
    <sheetView tabSelected="1" topLeftCell="B1" workbookViewId="0">
      <selection activeCell="G4" sqref="G4"/>
    </sheetView>
  </sheetViews>
  <sheetFormatPr baseColWidth="10" defaultRowHeight="15" x14ac:dyDescent="0.25"/>
  <cols>
    <col min="1" max="1" width="13.28515625" bestFit="1" customWidth="1"/>
    <col min="2" max="2" width="24.28515625" bestFit="1" customWidth="1"/>
    <col min="3" max="6" width="15.1406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4" t="s">
        <v>23</v>
      </c>
      <c r="B2" s="4" t="s">
        <v>0</v>
      </c>
      <c r="C2" s="3">
        <v>10500</v>
      </c>
      <c r="D2" s="3">
        <f>C2*12%+C2</f>
        <v>11760</v>
      </c>
      <c r="E2" s="3">
        <f>D2*13%+D2</f>
        <v>13288.8</v>
      </c>
      <c r="F2" s="3">
        <f>E2*13%+E2</f>
        <v>15016.343999999999</v>
      </c>
      <c r="G2" s="9">
        <v>50565.14</v>
      </c>
    </row>
    <row r="3" spans="1:7" ht="17.25" x14ac:dyDescent="0.3">
      <c r="A3" s="4" t="s">
        <v>23</v>
      </c>
      <c r="B3" s="4" t="s">
        <v>8</v>
      </c>
      <c r="C3" s="3">
        <v>22563</v>
      </c>
      <c r="D3" s="3">
        <f t="shared" ref="D3:D13" si="0">C3*12%+C3</f>
        <v>25270.560000000001</v>
      </c>
      <c r="E3" s="3">
        <f t="shared" ref="E3:F13" si="1">D3*13%+D3</f>
        <v>28555.732800000002</v>
      </c>
      <c r="F3" s="3">
        <f t="shared" si="1"/>
        <v>32267.978064000003</v>
      </c>
      <c r="G3" s="3"/>
    </row>
    <row r="4" spans="1:7" ht="17.25" x14ac:dyDescent="0.3">
      <c r="A4" s="4" t="s">
        <v>23</v>
      </c>
      <c r="B4" s="4" t="s">
        <v>9</v>
      </c>
      <c r="C4" s="3">
        <v>10562</v>
      </c>
      <c r="D4" s="3">
        <f t="shared" si="0"/>
        <v>11829.44</v>
      </c>
      <c r="E4" s="3">
        <f t="shared" si="1"/>
        <v>13367.2672</v>
      </c>
      <c r="F4" s="3">
        <f t="shared" si="1"/>
        <v>15105.011936000001</v>
      </c>
      <c r="G4" s="3"/>
    </row>
    <row r="5" spans="1:7" ht="17.25" x14ac:dyDescent="0.3">
      <c r="A5" s="4" t="s">
        <v>23</v>
      </c>
      <c r="B5" s="4" t="s">
        <v>10</v>
      </c>
      <c r="C5" s="3">
        <v>7526</v>
      </c>
      <c r="D5" s="3">
        <f t="shared" si="0"/>
        <v>8429.1200000000008</v>
      </c>
      <c r="E5" s="3">
        <f t="shared" si="1"/>
        <v>9524.9056000000019</v>
      </c>
      <c r="F5" s="3">
        <f t="shared" si="1"/>
        <v>10763.143328000002</v>
      </c>
      <c r="G5" s="3"/>
    </row>
    <row r="6" spans="1:7" ht="17.25" x14ac:dyDescent="0.3">
      <c r="A6" s="4" t="s">
        <v>23</v>
      </c>
      <c r="B6" s="4" t="s">
        <v>11</v>
      </c>
      <c r="C6" s="3">
        <v>66222</v>
      </c>
      <c r="D6" s="3">
        <f t="shared" si="0"/>
        <v>74168.639999999999</v>
      </c>
      <c r="E6" s="3">
        <f t="shared" si="1"/>
        <v>83810.563200000004</v>
      </c>
      <c r="F6" s="3">
        <f t="shared" si="1"/>
        <v>94705.936416000011</v>
      </c>
      <c r="G6" s="3"/>
    </row>
    <row r="7" spans="1:7" ht="17.25" x14ac:dyDescent="0.3">
      <c r="A7" s="4" t="s">
        <v>23</v>
      </c>
      <c r="B7" s="4" t="s">
        <v>12</v>
      </c>
      <c r="C7" s="3">
        <v>14223</v>
      </c>
      <c r="D7" s="3">
        <f t="shared" si="0"/>
        <v>15929.76</v>
      </c>
      <c r="E7" s="3">
        <f t="shared" si="1"/>
        <v>18000.628799999999</v>
      </c>
      <c r="F7" s="3">
        <f t="shared" si="1"/>
        <v>20340.710543999998</v>
      </c>
      <c r="G7" s="3"/>
    </row>
    <row r="8" spans="1:7" ht="17.25" x14ac:dyDescent="0.3">
      <c r="A8" s="4" t="s">
        <v>23</v>
      </c>
      <c r="B8" s="4" t="s">
        <v>13</v>
      </c>
      <c r="C8" s="3">
        <v>35695</v>
      </c>
      <c r="D8" s="3">
        <f t="shared" si="0"/>
        <v>39978.400000000001</v>
      </c>
      <c r="E8" s="3">
        <f t="shared" si="1"/>
        <v>45175.592000000004</v>
      </c>
      <c r="F8" s="3">
        <f t="shared" si="1"/>
        <v>51048.418960000003</v>
      </c>
      <c r="G8" s="3"/>
    </row>
    <row r="9" spans="1:7" ht="17.25" x14ac:dyDescent="0.3">
      <c r="A9" s="4" t="s">
        <v>23</v>
      </c>
      <c r="B9" s="4" t="s">
        <v>14</v>
      </c>
      <c r="C9" s="3">
        <v>27963</v>
      </c>
      <c r="D9" s="3">
        <f t="shared" si="0"/>
        <v>31318.560000000001</v>
      </c>
      <c r="E9" s="3">
        <f t="shared" si="1"/>
        <v>35389.972800000003</v>
      </c>
      <c r="F9" s="3">
        <f t="shared" si="1"/>
        <v>39990.669264000004</v>
      </c>
      <c r="G9" s="3"/>
    </row>
    <row r="10" spans="1:7" ht="17.25" x14ac:dyDescent="0.3">
      <c r="A10" s="4" t="s">
        <v>23</v>
      </c>
      <c r="B10" s="4" t="s">
        <v>15</v>
      </c>
      <c r="C10" s="3">
        <v>47859</v>
      </c>
      <c r="D10" s="3">
        <f t="shared" si="0"/>
        <v>53602.080000000002</v>
      </c>
      <c r="E10" s="3">
        <f t="shared" si="1"/>
        <v>60570.350400000003</v>
      </c>
      <c r="F10" s="3">
        <f t="shared" si="1"/>
        <v>68444.495951999997</v>
      </c>
      <c r="G10" s="3"/>
    </row>
    <row r="11" spans="1:7" ht="17.25" x14ac:dyDescent="0.3">
      <c r="A11" s="4" t="s">
        <v>23</v>
      </c>
      <c r="B11" s="4" t="s">
        <v>16</v>
      </c>
      <c r="C11" s="3">
        <v>58632</v>
      </c>
      <c r="D11" s="3">
        <f t="shared" si="0"/>
        <v>65667.839999999997</v>
      </c>
      <c r="E11" s="3">
        <f t="shared" si="1"/>
        <v>74204.659199999995</v>
      </c>
      <c r="F11" s="3">
        <f t="shared" si="1"/>
        <v>83851.264895999993</v>
      </c>
      <c r="G11" s="3"/>
    </row>
    <row r="12" spans="1:7" ht="17.25" x14ac:dyDescent="0.3">
      <c r="A12" s="4" t="s">
        <v>23</v>
      </c>
      <c r="B12" s="4" t="s">
        <v>17</v>
      </c>
      <c r="C12" s="3">
        <v>14526</v>
      </c>
      <c r="D12" s="3">
        <f t="shared" si="0"/>
        <v>16269.119999999999</v>
      </c>
      <c r="E12" s="3">
        <f t="shared" si="1"/>
        <v>18384.105599999999</v>
      </c>
      <c r="F12" s="3">
        <f t="shared" si="1"/>
        <v>20774.039327999999</v>
      </c>
      <c r="G12" s="3"/>
    </row>
    <row r="13" spans="1:7" ht="17.25" x14ac:dyDescent="0.3">
      <c r="A13" s="4" t="s">
        <v>23</v>
      </c>
      <c r="B13" s="4" t="s">
        <v>18</v>
      </c>
      <c r="C13" s="3">
        <v>44656</v>
      </c>
      <c r="D13" s="3">
        <f t="shared" si="0"/>
        <v>50014.720000000001</v>
      </c>
      <c r="E13" s="3">
        <f t="shared" si="1"/>
        <v>56516.633600000001</v>
      </c>
      <c r="F13" s="3">
        <f t="shared" si="1"/>
        <v>63863.795967999999</v>
      </c>
      <c r="G13" s="3"/>
    </row>
    <row r="14" spans="1:7" ht="17.25" x14ac:dyDescent="0.3">
      <c r="G14" s="3"/>
    </row>
    <row r="15" spans="1:7" ht="17.25" x14ac:dyDescent="0.3">
      <c r="G15" s="3"/>
    </row>
    <row r="16" spans="1:7" ht="17.25" x14ac:dyDescent="0.3">
      <c r="G1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0EF1-2D1D-4BEC-A869-F211DF3790BE}">
  <sheetPr codeName="Hoja3"/>
  <dimension ref="A1:G15"/>
  <sheetViews>
    <sheetView workbookViewId="0">
      <selection activeCell="G2" sqref="G2"/>
    </sheetView>
  </sheetViews>
  <sheetFormatPr baseColWidth="10" defaultRowHeight="15" x14ac:dyDescent="0.25"/>
  <cols>
    <col min="1" max="1" width="10.28515625" bestFit="1" customWidth="1"/>
    <col min="2" max="2" width="24.28515625" bestFit="1" customWidth="1"/>
    <col min="3" max="6" width="15.425781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4" t="s">
        <v>24</v>
      </c>
      <c r="B2" s="4" t="s">
        <v>0</v>
      </c>
      <c r="C2" s="3">
        <v>8323</v>
      </c>
      <c r="D2" s="3">
        <f>C2*12%+C2</f>
        <v>9321.76</v>
      </c>
      <c r="E2" s="3">
        <f>D2*13%+D2</f>
        <v>10533.5888</v>
      </c>
      <c r="F2" s="3">
        <f>E2*13%+E2</f>
        <v>11902.955344</v>
      </c>
      <c r="G2" s="3"/>
    </row>
    <row r="3" spans="1:7" ht="17.25" x14ac:dyDescent="0.3">
      <c r="A3" s="4" t="s">
        <v>24</v>
      </c>
      <c r="B3" s="4" t="s">
        <v>8</v>
      </c>
      <c r="C3" s="3">
        <v>20363</v>
      </c>
      <c r="D3" s="3">
        <f t="shared" ref="D3:D15" si="0">C3*12%+C3</f>
        <v>22806.560000000001</v>
      </c>
      <c r="E3" s="3">
        <f t="shared" ref="E3:F15" si="1">D3*13%+D3</f>
        <v>25771.412800000002</v>
      </c>
      <c r="F3" s="3">
        <f t="shared" si="1"/>
        <v>29121.696464000001</v>
      </c>
      <c r="G3" s="3"/>
    </row>
    <row r="4" spans="1:7" ht="17.25" x14ac:dyDescent="0.3">
      <c r="A4" s="4" t="s">
        <v>24</v>
      </c>
      <c r="B4" s="4" t="s">
        <v>9</v>
      </c>
      <c r="C4" s="3">
        <v>96323</v>
      </c>
      <c r="D4" s="3">
        <f t="shared" si="0"/>
        <v>107881.76</v>
      </c>
      <c r="E4" s="3">
        <f t="shared" si="1"/>
        <v>121906.3888</v>
      </c>
      <c r="F4" s="3">
        <f t="shared" si="1"/>
        <v>137754.21934400001</v>
      </c>
      <c r="G4" s="3"/>
    </row>
    <row r="5" spans="1:7" ht="17.25" x14ac:dyDescent="0.3">
      <c r="A5" s="4" t="s">
        <v>24</v>
      </c>
      <c r="B5" s="4" t="s">
        <v>10</v>
      </c>
      <c r="C5" s="3">
        <v>5963</v>
      </c>
      <c r="D5" s="3">
        <f t="shared" si="0"/>
        <v>6678.5599999999995</v>
      </c>
      <c r="E5" s="3">
        <f t="shared" si="1"/>
        <v>7546.7727999999997</v>
      </c>
      <c r="F5" s="3">
        <f t="shared" si="1"/>
        <v>8527.8532639999994</v>
      </c>
      <c r="G5" s="3"/>
    </row>
    <row r="6" spans="1:7" ht="17.25" x14ac:dyDescent="0.3">
      <c r="A6" s="4" t="s">
        <v>24</v>
      </c>
      <c r="B6" s="4" t="s">
        <v>11</v>
      </c>
      <c r="C6" s="3">
        <v>59632</v>
      </c>
      <c r="D6" s="3">
        <f t="shared" si="0"/>
        <v>66787.839999999997</v>
      </c>
      <c r="E6" s="3">
        <f t="shared" si="1"/>
        <v>75470.2592</v>
      </c>
      <c r="F6" s="3">
        <f t="shared" si="1"/>
        <v>85281.392896000005</v>
      </c>
      <c r="G6" s="3"/>
    </row>
    <row r="7" spans="1:7" ht="17.25" x14ac:dyDescent="0.3">
      <c r="A7" s="4" t="s">
        <v>24</v>
      </c>
      <c r="B7" s="4" t="s">
        <v>12</v>
      </c>
      <c r="C7" s="3">
        <v>9856</v>
      </c>
      <c r="D7" s="3">
        <f t="shared" si="0"/>
        <v>11038.72</v>
      </c>
      <c r="E7" s="3">
        <f t="shared" si="1"/>
        <v>12473.7536</v>
      </c>
      <c r="F7" s="3">
        <f t="shared" si="1"/>
        <v>14095.341568</v>
      </c>
      <c r="G7" s="3"/>
    </row>
    <row r="8" spans="1:7" ht="17.25" x14ac:dyDescent="0.3">
      <c r="A8" s="4" t="s">
        <v>24</v>
      </c>
      <c r="B8" s="4" t="s">
        <v>13</v>
      </c>
      <c r="C8" s="3">
        <v>32659</v>
      </c>
      <c r="D8" s="3">
        <f t="shared" si="0"/>
        <v>36578.080000000002</v>
      </c>
      <c r="E8" s="3">
        <f t="shared" si="1"/>
        <v>41333.2304</v>
      </c>
      <c r="F8" s="3">
        <f t="shared" si="1"/>
        <v>46706.550351999998</v>
      </c>
      <c r="G8" s="3"/>
    </row>
    <row r="9" spans="1:7" ht="17.25" x14ac:dyDescent="0.3">
      <c r="A9" s="4" t="s">
        <v>24</v>
      </c>
      <c r="B9" s="4" t="s">
        <v>14</v>
      </c>
      <c r="C9" s="3">
        <v>25896</v>
      </c>
      <c r="D9" s="3">
        <f t="shared" si="0"/>
        <v>29003.52</v>
      </c>
      <c r="E9" s="3">
        <f t="shared" si="1"/>
        <v>32773.977599999998</v>
      </c>
      <c r="F9" s="3">
        <f t="shared" si="1"/>
        <v>37034.594687999997</v>
      </c>
      <c r="G9" s="3"/>
    </row>
    <row r="10" spans="1:7" ht="17.25" x14ac:dyDescent="0.3">
      <c r="A10" s="4" t="s">
        <v>24</v>
      </c>
      <c r="B10" s="4" t="s">
        <v>15</v>
      </c>
      <c r="C10" s="3">
        <v>45852</v>
      </c>
      <c r="D10" s="3">
        <f t="shared" si="0"/>
        <v>51354.239999999998</v>
      </c>
      <c r="E10" s="3">
        <f t="shared" si="1"/>
        <v>58030.2912</v>
      </c>
      <c r="F10" s="3">
        <f t="shared" si="1"/>
        <v>65574.229055999996</v>
      </c>
      <c r="G10" s="3"/>
    </row>
    <row r="11" spans="1:7" ht="17.25" x14ac:dyDescent="0.3">
      <c r="A11" s="4" t="s">
        <v>24</v>
      </c>
      <c r="B11" s="4" t="s">
        <v>16</v>
      </c>
      <c r="C11" s="3">
        <v>55632</v>
      </c>
      <c r="D11" s="3">
        <f t="shared" si="0"/>
        <v>62307.839999999997</v>
      </c>
      <c r="E11" s="3">
        <f t="shared" si="1"/>
        <v>70407.859199999992</v>
      </c>
      <c r="F11" s="3">
        <f t="shared" si="1"/>
        <v>79560.880895999988</v>
      </c>
      <c r="G11" s="3"/>
    </row>
    <row r="12" spans="1:7" ht="17.25" x14ac:dyDescent="0.3">
      <c r="A12" s="4" t="s">
        <v>24</v>
      </c>
      <c r="B12" s="4" t="s">
        <v>17</v>
      </c>
      <c r="C12" s="3">
        <v>13252</v>
      </c>
      <c r="D12" s="3">
        <f t="shared" si="0"/>
        <v>14842.24</v>
      </c>
      <c r="E12" s="3">
        <f t="shared" si="1"/>
        <v>16771.731199999998</v>
      </c>
      <c r="F12" s="3">
        <f t="shared" si="1"/>
        <v>18952.056255999996</v>
      </c>
      <c r="G12" s="3"/>
    </row>
    <row r="13" spans="1:7" ht="17.25" x14ac:dyDescent="0.3">
      <c r="A13" s="4" t="s">
        <v>24</v>
      </c>
      <c r="B13" s="4" t="s">
        <v>18</v>
      </c>
      <c r="C13" s="3">
        <v>43526</v>
      </c>
      <c r="D13" s="3">
        <f t="shared" si="0"/>
        <v>48749.120000000003</v>
      </c>
      <c r="E13" s="3">
        <f t="shared" si="1"/>
        <v>55086.505600000004</v>
      </c>
      <c r="F13" s="3">
        <f t="shared" si="1"/>
        <v>62247.751328000006</v>
      </c>
      <c r="G13" s="3"/>
    </row>
    <row r="14" spans="1:7" ht="17.25" x14ac:dyDescent="0.3">
      <c r="A14" s="4" t="s">
        <v>24</v>
      </c>
      <c r="B14" s="4" t="s">
        <v>19</v>
      </c>
      <c r="C14" s="3">
        <v>57632</v>
      </c>
      <c r="D14" s="3">
        <f t="shared" si="0"/>
        <v>64547.839999999997</v>
      </c>
      <c r="E14" s="3">
        <f t="shared" si="1"/>
        <v>72939.059199999989</v>
      </c>
      <c r="F14" s="3">
        <f t="shared" si="1"/>
        <v>82421.136895999982</v>
      </c>
      <c r="G14" s="3"/>
    </row>
    <row r="15" spans="1:7" ht="17.25" x14ac:dyDescent="0.3">
      <c r="A15" s="4" t="s">
        <v>24</v>
      </c>
      <c r="B15" s="4" t="s">
        <v>20</v>
      </c>
      <c r="C15" s="3">
        <v>47851</v>
      </c>
      <c r="D15" s="3">
        <f t="shared" si="0"/>
        <v>53593.120000000003</v>
      </c>
      <c r="E15" s="3">
        <f t="shared" si="1"/>
        <v>60560.225600000005</v>
      </c>
      <c r="F15" s="3">
        <f t="shared" si="1"/>
        <v>68433.054928000012</v>
      </c>
      <c r="G1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698AE-2662-42CD-815D-8D6C13B4B027}">
  <sheetPr codeName="Hoja4"/>
  <dimension ref="A1:G14"/>
  <sheetViews>
    <sheetView workbookViewId="0">
      <selection activeCell="G2" sqref="G2"/>
    </sheetView>
  </sheetViews>
  <sheetFormatPr baseColWidth="10" defaultRowHeight="15" x14ac:dyDescent="0.25"/>
  <cols>
    <col min="1" max="1" width="10.28515625" bestFit="1" customWidth="1"/>
    <col min="2" max="2" width="24.28515625" bestFit="1" customWidth="1"/>
    <col min="3" max="6" width="15.57031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4" t="s">
        <v>25</v>
      </c>
      <c r="B2" s="4" t="s">
        <v>0</v>
      </c>
      <c r="C2" s="3">
        <v>7956</v>
      </c>
      <c r="D2" s="3">
        <f>C2*12%+C2</f>
        <v>8910.7199999999993</v>
      </c>
      <c r="E2" s="3">
        <f>D2*13%+D2</f>
        <v>10069.113599999999</v>
      </c>
      <c r="F2" s="3">
        <f>E2*13%+E2</f>
        <v>11378.098367999999</v>
      </c>
      <c r="G2" s="3"/>
    </row>
    <row r="3" spans="1:7" ht="17.25" x14ac:dyDescent="0.3">
      <c r="A3" s="4" t="s">
        <v>25</v>
      </c>
      <c r="B3" s="4" t="s">
        <v>8</v>
      </c>
      <c r="C3" s="3">
        <v>16523</v>
      </c>
      <c r="D3" s="3">
        <f t="shared" ref="D3:D14" si="0">C3*12%+C3</f>
        <v>18505.759999999998</v>
      </c>
      <c r="E3" s="3">
        <f t="shared" ref="E3:F14" si="1">D3*13%+D3</f>
        <v>20911.5088</v>
      </c>
      <c r="F3" s="3">
        <f t="shared" si="1"/>
        <v>23630.004944</v>
      </c>
      <c r="G3" s="3"/>
    </row>
    <row r="4" spans="1:7" ht="17.25" x14ac:dyDescent="0.3">
      <c r="A4" s="4" t="s">
        <v>25</v>
      </c>
      <c r="B4" s="4" t="s">
        <v>9</v>
      </c>
      <c r="C4" s="3">
        <v>89632</v>
      </c>
      <c r="D4" s="3">
        <f t="shared" si="0"/>
        <v>100387.84</v>
      </c>
      <c r="E4" s="3">
        <f t="shared" si="1"/>
        <v>113438.2592</v>
      </c>
      <c r="F4" s="3">
        <f t="shared" si="1"/>
        <v>128185.232896</v>
      </c>
      <c r="G4" s="3"/>
    </row>
    <row r="5" spans="1:7" ht="17.25" x14ac:dyDescent="0.3">
      <c r="A5" s="4" t="s">
        <v>25</v>
      </c>
      <c r="B5" s="4" t="s">
        <v>10</v>
      </c>
      <c r="C5" s="3">
        <v>5000</v>
      </c>
      <c r="D5" s="3">
        <f t="shared" si="0"/>
        <v>5600</v>
      </c>
      <c r="E5" s="3">
        <f t="shared" si="1"/>
        <v>6328</v>
      </c>
      <c r="F5" s="3">
        <f t="shared" si="1"/>
        <v>7150.64</v>
      </c>
      <c r="G5" s="3"/>
    </row>
    <row r="6" spans="1:7" ht="17.25" x14ac:dyDescent="0.3">
      <c r="A6" s="4" t="s">
        <v>25</v>
      </c>
      <c r="B6" s="4" t="s">
        <v>11</v>
      </c>
      <c r="C6" s="3">
        <v>50632</v>
      </c>
      <c r="D6" s="3">
        <f t="shared" si="0"/>
        <v>56707.839999999997</v>
      </c>
      <c r="E6" s="3">
        <f t="shared" si="1"/>
        <v>64079.859199999999</v>
      </c>
      <c r="F6" s="3">
        <f t="shared" si="1"/>
        <v>72410.240896000003</v>
      </c>
      <c r="G6" s="3"/>
    </row>
    <row r="7" spans="1:7" ht="17.25" x14ac:dyDescent="0.3">
      <c r="A7" s="4" t="s">
        <v>25</v>
      </c>
      <c r="B7" s="4" t="s">
        <v>12</v>
      </c>
      <c r="C7" s="3">
        <v>4596</v>
      </c>
      <c r="D7" s="3">
        <f t="shared" si="0"/>
        <v>5147.5200000000004</v>
      </c>
      <c r="E7" s="3">
        <f t="shared" si="1"/>
        <v>5816.6976000000004</v>
      </c>
      <c r="F7" s="3">
        <f t="shared" si="1"/>
        <v>6572.8682880000006</v>
      </c>
      <c r="G7" s="3"/>
    </row>
    <row r="8" spans="1:7" ht="17.25" x14ac:dyDescent="0.3">
      <c r="A8" s="4" t="s">
        <v>25</v>
      </c>
      <c r="B8" s="4" t="s">
        <v>13</v>
      </c>
      <c r="C8" s="3">
        <v>24569</v>
      </c>
      <c r="D8" s="3">
        <f t="shared" si="0"/>
        <v>27517.279999999999</v>
      </c>
      <c r="E8" s="3">
        <f t="shared" si="1"/>
        <v>31094.526399999999</v>
      </c>
      <c r="F8" s="3">
        <f t="shared" si="1"/>
        <v>35136.814831999996</v>
      </c>
      <c r="G8" s="3"/>
    </row>
    <row r="9" spans="1:7" ht="17.25" x14ac:dyDescent="0.3">
      <c r="A9" s="4" t="s">
        <v>25</v>
      </c>
      <c r="B9" s="4" t="s">
        <v>14</v>
      </c>
      <c r="C9" s="3">
        <v>20256</v>
      </c>
      <c r="D9" s="3">
        <f t="shared" si="0"/>
        <v>22686.720000000001</v>
      </c>
      <c r="E9" s="3">
        <f t="shared" si="1"/>
        <v>25635.993600000002</v>
      </c>
      <c r="F9" s="3">
        <f t="shared" si="1"/>
        <v>28968.672768</v>
      </c>
      <c r="G9" s="3"/>
    </row>
    <row r="10" spans="1:7" ht="17.25" x14ac:dyDescent="0.3">
      <c r="A10" s="4" t="s">
        <v>25</v>
      </c>
      <c r="B10" s="4" t="s">
        <v>15</v>
      </c>
      <c r="C10" s="3">
        <v>41632</v>
      </c>
      <c r="D10" s="3">
        <f t="shared" si="0"/>
        <v>46627.839999999997</v>
      </c>
      <c r="E10" s="3">
        <f t="shared" si="1"/>
        <v>52689.459199999998</v>
      </c>
      <c r="F10" s="3">
        <f t="shared" si="1"/>
        <v>59539.088896000001</v>
      </c>
      <c r="G10" s="3"/>
    </row>
    <row r="11" spans="1:7" ht="17.25" x14ac:dyDescent="0.3">
      <c r="A11" s="4" t="s">
        <v>25</v>
      </c>
      <c r="B11" s="4" t="s">
        <v>16</v>
      </c>
      <c r="C11" s="3">
        <v>49874</v>
      </c>
      <c r="D11" s="3">
        <f t="shared" si="0"/>
        <v>55858.879999999997</v>
      </c>
      <c r="E11" s="3">
        <f t="shared" si="1"/>
        <v>63120.534399999997</v>
      </c>
      <c r="F11" s="3">
        <f t="shared" si="1"/>
        <v>71326.203871999998</v>
      </c>
      <c r="G11" s="3"/>
    </row>
    <row r="12" spans="1:7" ht="17.25" x14ac:dyDescent="0.3">
      <c r="A12" s="4" t="s">
        <v>25</v>
      </c>
      <c r="B12" s="4" t="s">
        <v>18</v>
      </c>
      <c r="C12" s="3">
        <v>39635</v>
      </c>
      <c r="D12" s="3">
        <f t="shared" si="0"/>
        <v>44391.199999999997</v>
      </c>
      <c r="E12" s="3">
        <f t="shared" si="1"/>
        <v>50162.055999999997</v>
      </c>
      <c r="F12" s="3">
        <f t="shared" si="1"/>
        <v>56683.12328</v>
      </c>
      <c r="G12" s="3"/>
    </row>
    <row r="13" spans="1:7" ht="17.25" x14ac:dyDescent="0.3">
      <c r="A13" s="4" t="s">
        <v>25</v>
      </c>
      <c r="B13" s="4" t="s">
        <v>20</v>
      </c>
      <c r="C13" s="3">
        <v>41896</v>
      </c>
      <c r="D13" s="3">
        <f t="shared" si="0"/>
        <v>46923.519999999997</v>
      </c>
      <c r="E13" s="3">
        <f t="shared" si="1"/>
        <v>53023.577599999997</v>
      </c>
      <c r="F13" s="3">
        <f t="shared" si="1"/>
        <v>59916.642687999993</v>
      </c>
      <c r="G13" s="3"/>
    </row>
    <row r="14" spans="1:7" ht="17.25" x14ac:dyDescent="0.3">
      <c r="A14" s="4" t="s">
        <v>25</v>
      </c>
      <c r="B14" s="4" t="s">
        <v>21</v>
      </c>
      <c r="C14" s="3">
        <v>10479</v>
      </c>
      <c r="D14" s="3">
        <f t="shared" si="0"/>
        <v>11736.48</v>
      </c>
      <c r="E14" s="3">
        <f t="shared" si="1"/>
        <v>13262.222399999999</v>
      </c>
      <c r="F14" s="3">
        <f t="shared" si="1"/>
        <v>14986.311311999998</v>
      </c>
      <c r="G14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Barranquilla</vt:lpstr>
      <vt:lpstr>Bogotá</vt:lpstr>
      <vt:lpstr>Medellín</vt:lpstr>
      <vt:lpstr>Brasilia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</dc:creator>
  <cp:lastModifiedBy>Full name</cp:lastModifiedBy>
  <dcterms:created xsi:type="dcterms:W3CDTF">2017-10-16T16:47:09Z</dcterms:created>
  <dcterms:modified xsi:type="dcterms:W3CDTF">2020-04-27T15:09:57Z</dcterms:modified>
</cp:coreProperties>
</file>